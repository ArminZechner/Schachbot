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sten" sheetId="1" r:id="rId5"/>
  </sheets>
  <definedNames/>
  <calcPr/>
</workbook>
</file>

<file path=xl/sharedStrings.xml><?xml version="1.0" encoding="utf-8"?>
<sst xmlns="http://schemas.openxmlformats.org/spreadsheetml/2006/main" count="130" uniqueCount="101">
  <si>
    <t>Bauteil</t>
  </si>
  <si>
    <t>Anzahl</t>
  </si>
  <si>
    <t>Kosten</t>
  </si>
  <si>
    <t>Kosten Gesamt</t>
  </si>
  <si>
    <t>Nutzen</t>
  </si>
  <si>
    <t>Websidelink</t>
  </si>
  <si>
    <t>Gekauft</t>
  </si>
  <si>
    <t>Angekommen / Zusammensammeln</t>
  </si>
  <si>
    <t>I/O</t>
  </si>
  <si>
    <t>Stoptaster</t>
  </si>
  <si>
    <t>0/0 Setzen der Geantry</t>
  </si>
  <si>
    <t>Link</t>
  </si>
  <si>
    <t>Tastenmatrix</t>
  </si>
  <si>
    <t>Input-Bewegen der Figuren</t>
  </si>
  <si>
    <r>
      <rPr>
        <rFont val="Calibri, sans-serif"/>
        <b/>
        <color rgb="FF1155CC"/>
        <sz val="11.0"/>
        <u/>
      </rPr>
      <t>Link</t>
    </r>
    <r>
      <rPr>
        <rFont val="Calibri, sans-serif"/>
        <b/>
        <sz val="11.0"/>
      </rPr>
      <t xml:space="preserve"> </t>
    </r>
    <r>
      <rPr>
        <rFont val="Calibri, sans-serif"/>
        <b/>
        <color rgb="FFFFFFFF"/>
        <sz val="11.0"/>
      </rPr>
      <t>/ WE</t>
    </r>
  </si>
  <si>
    <t xml:space="preserve">      </t>
  </si>
  <si>
    <t>LCD Display</t>
  </si>
  <si>
    <t>Schachfeldausgabe / Input ausgabe</t>
  </si>
  <si>
    <t>https://www.amazon.de/Display-Binghe-Auflösung-Treiber-Kompatibel/dp/B0D6B9M4ZH?__mk_de_DE=ÅMÅŽÕÑ&amp;crid=3PVPHAYU3B8I&amp;dib=eyJ2IjoiMSJ9.hiEUEzppqkyq4Z-a5G-0KhFC2EERPNFCxOcZ3T9Bju2y1-wCOL-Rra0snpN-JiGHTmzjUkTqj10XrM0y2ZOSZazVdrWKscFCYOtBQnfnRo4kY9YgbSZV1Ay4nWoFKRr6xcgnNPzuhiT7vP7YDHbWabgZd7YKzFueqR9LYIGJdCRZqnF210ABkR1ezfeMyTMayKAVy8tEnjGCxLg87gvQgtqA96HB74Zgy5D1eHENBok.WfTje2O4wkFGOIxVWy84GkJV3-bl7TeVCvEPJb57Nc0&amp;dib_tag=se&amp;keywords=lcd+display&amp;qid=1772385442&amp;sprefix=lcd+display%2Caps%2C114&amp;sr=8-17</t>
  </si>
  <si>
    <t>uC</t>
  </si>
  <si>
    <t>ESP32</t>
  </si>
  <si>
    <t>Programm</t>
  </si>
  <si>
    <t>GPIO Expander</t>
  </si>
  <si>
    <t>Mehr GPIO Pins</t>
  </si>
  <si>
    <t>Powersupply</t>
  </si>
  <si>
    <t>Netzteil</t>
  </si>
  <si>
    <t>Versorgungsspannung</t>
  </si>
  <si>
    <t>Step-Down</t>
  </si>
  <si>
    <t>Versorgung ESP</t>
  </si>
  <si>
    <t>Magnetismus</t>
  </si>
  <si>
    <t>Spule</t>
  </si>
  <si>
    <t>Ziehen der Figuren</t>
  </si>
  <si>
    <t>Dauer magneten</t>
  </si>
  <si>
    <t>Verstärkung des Magnetsimusses</t>
  </si>
  <si>
    <t>https://www.amazon.de/Neodym-Magnete-Stück-Extrem-Haftstärke/dp/B0DLG7G1S8?__mk_de_DE=ÅMÅŽÕÑ&amp;crid=31PID9HUWTK74&amp;dib=eyJ2IjoiMSJ9.uIZmhvd99o-_gmDsEwClazgnEGwXVAjS6ZjE61BMJ5j6bwQeq0yMPVZiKRHYF4fjOt3SnmxI-FrkkyIvQl-ojj2W4gisE3B8THLTDh6Glv01QFh_d-0FvHxr2Z9OXwX12RNwrd216AEe1ZpVFXcRPlbNCgHFKIqRMaQ14okcrZ7JOH3Ptxj4yIII9BaIOh37QGfziIADfoKJ2QcwrE2bxrDu4PauJFZ5YOwPcfPVkLkNVR1h5E6yae-5CPC1iTz5Jy1dtbowQDgrzYg29Id36IEw-8JSA8OmwoaOT_XbicM.ln-mt01P1FKHP93BAoPApwMCtTaFSaiCdFjZzhMDezw&amp;dib_tag=se&amp;keywords=dauermagnete&amp;qid=1773127407&amp;s=industrial&amp;sprefix=dauer%2Bmagneten%2Cindustrial%2C103&amp;sr=1-6&amp;th=1</t>
  </si>
  <si>
    <t>N-Kanal Mosfet</t>
  </si>
  <si>
    <t>Ansteurung Spule</t>
  </si>
  <si>
    <t>WE / Neuhold</t>
  </si>
  <si>
    <t>Gantry (Motoren)</t>
  </si>
  <si>
    <t>Stepper-Motoren</t>
  </si>
  <si>
    <t>Bewgen der Gantry X/Y Achse</t>
  </si>
  <si>
    <t>Motor-Treiber</t>
  </si>
  <si>
    <t>Regeln der Motoren</t>
  </si>
  <si>
    <t>Sonstiges</t>
  </si>
  <si>
    <t>Draht Farbe x  6Meter AWG 18</t>
  </si>
  <si>
    <t>Verdrahtung</t>
  </si>
  <si>
    <r>
      <rPr>
        <rFont val="Calibri, sans-serif"/>
        <b/>
        <color rgb="FF1155CC"/>
        <sz val="11.0"/>
        <u/>
      </rPr>
      <t>Link</t>
    </r>
    <r>
      <rPr>
        <rFont val="Calibri, sans-serif"/>
        <b/>
        <color rgb="FF1F1F1F"/>
        <sz val="11.0"/>
      </rPr>
      <t xml:space="preserve"> </t>
    </r>
    <r>
      <rPr>
        <rFont val="Calibri, sans-serif"/>
        <b/>
        <color rgb="FFFFFFFF"/>
        <sz val="11.0"/>
      </rPr>
      <t>/ WE</t>
    </r>
  </si>
  <si>
    <t>Fillament Schwarz</t>
  </si>
  <si>
    <t>Flaeche</t>
  </si>
  <si>
    <t>Fillament Weiß</t>
  </si>
  <si>
    <t>https://www.amazon.de/3D-Druck-Filament-High-Speed-PLA-Filament-Kartonspule-Maßgenauigkeit-3D-FDM-Drucker/dp/B0CT8SBDYL?__mk_de_DE=ÅMÅŽÕÑ&amp;crid=3H6NNU3AQEFY0&amp;dib=eyJ2IjoiMSJ9.EUKdJhH8N5kMm-71FTptk-orJdGw36XNl5iS8jUZJdFYe-6RXDR15e7U7uwEAzNma_5Wm0m8eA3T_5TYM2szQIsf-PREhuF_-eE10qswBc-5w1iPzbnewh_ySZNC8D_D328qhXWOnof_0D3NbdxJlXOGKXsc9vdGHbffkdD9IB8ADQKLwcE-_6UOwTWDAeQvxzudbmKoQy0Fue9NVcecpTqpW4USFophZoOBy321ERlMZElo57dqnzaB9OGcObbi3hdydbkeMdzlUpWVmu0gJXc-tk-vtOrjS4TFDMwEm9Q.bU0fCwOyFddHTPNZA0xsLbnW7aofys6x4U6YRNHQUmM&amp;dib_tag=se&amp;keywords=3d%2Bfilament%2BPLA%2Bbasic&amp;qid=1771926673&amp;sprefix=3d%2Bfilament%2Bpla%2Bbasi%2Caps%2C115&amp;sr=8-10&amp;th=1</t>
  </si>
  <si>
    <t>Fileament Gerüst</t>
  </si>
  <si>
    <t>Grundboden</t>
  </si>
  <si>
    <t>Filtz</t>
  </si>
  <si>
    <t>Starke Magneten</t>
  </si>
  <si>
    <t>Baumarkt</t>
  </si>
  <si>
    <t>Platine</t>
  </si>
  <si>
    <t>Buchsenleisten</t>
  </si>
  <si>
    <t>WE</t>
  </si>
  <si>
    <t>Gantry (Stage1)</t>
  </si>
  <si>
    <t>Alu Profil 500mm</t>
  </si>
  <si>
    <t>Rollen struktur 1</t>
  </si>
  <si>
    <t>Rolle + schrauben</t>
  </si>
  <si>
    <t>Rolle für Motor</t>
  </si>
  <si>
    <t>Plate Groß</t>
  </si>
  <si>
    <t>Hält Stage 2</t>
  </si>
  <si>
    <t>Gantry (Stage2)</t>
  </si>
  <si>
    <t>Alu Profil 1000mm</t>
  </si>
  <si>
    <t>Rollen struktur 2</t>
  </si>
  <si>
    <t>Roole für Motor</t>
  </si>
  <si>
    <t>Spulle halterung</t>
  </si>
  <si>
    <t>Hält Spulle</t>
  </si>
  <si>
    <t>Gantry (Zusatz)</t>
  </si>
  <si>
    <t>Ersatz (kann kapput gehen)</t>
  </si>
  <si>
    <t xml:space="preserve">Nutsteine </t>
  </si>
  <si>
    <t>Fürs Profil</t>
  </si>
  <si>
    <t>Schrauben</t>
  </si>
  <si>
    <t xml:space="preserve">Zum anschrauben </t>
  </si>
  <si>
    <t>Muttern</t>
  </si>
  <si>
    <t>Umlenck Rohle</t>
  </si>
  <si>
    <t xml:space="preserve"> Kurve für Kette</t>
  </si>
  <si>
    <t>Zahn pulley</t>
  </si>
  <si>
    <t>Wandelt Motor drehung auf Kette um</t>
  </si>
  <si>
    <t>Ketten/Riemen</t>
  </si>
  <si>
    <t xml:space="preserve">Zum Bewgen </t>
  </si>
  <si>
    <t>Kabelbinder</t>
  </si>
  <si>
    <t>Zum befestigen der Platte</t>
  </si>
  <si>
    <t>Gantry Gehäuse</t>
  </si>
  <si>
    <t>M5 Flachkop Schrauben</t>
  </si>
  <si>
    <t>Befestingung von Platte und PlexiGlass</t>
  </si>
  <si>
    <t>OBI</t>
  </si>
  <si>
    <t xml:space="preserve">PlexiGlass </t>
  </si>
  <si>
    <t>Dach/Schachbret</t>
  </si>
  <si>
    <t>Kontakte</t>
  </si>
  <si>
    <t>Holzplatte</t>
  </si>
  <si>
    <t>Platte</t>
  </si>
  <si>
    <t>Keller</t>
  </si>
  <si>
    <t>Versand 3D Proto:</t>
  </si>
  <si>
    <t>Versand Berrybase:</t>
  </si>
  <si>
    <t>Kosten:</t>
  </si>
  <si>
    <t>Kosten Versandt: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</si>
</sst>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\ [$€-1]"/>
    <numFmt numFmtId="165" formatCode="#,##0.00&quot;€&quot;"/>
    <numFmt numFmtId="166" formatCode="#,##0&quot;€&quot;"/>
  </numFmts>
  <fonts count="11">
    <font>
      <sz val="10.0"/>
      <color rgb="FF000000"/>
      <name val="Arial"/>
      <scheme val="minor"/>
    </font>
    <font>
      <b/>
      <sz val="11.0"/>
      <color rgb="FFFFFFFF"/>
      <name val="Calibri"/>
    </font>
    <font>
      <b/>
      <sz val="12.0"/>
      <color rgb="FFFFFFFF"/>
      <name val="Calibri"/>
    </font>
    <font>
      <b/>
      <color theme="1"/>
      <name val="Arial"/>
      <scheme val="minor"/>
    </font>
    <font>
      <b/>
      <u/>
      <sz val="11.0"/>
      <color rgb="FF0000FF"/>
      <name val="Calibri"/>
    </font>
    <font>
      <color theme="1"/>
      <name val="Arial"/>
      <scheme val="minor"/>
    </font>
    <font>
      <b/>
      <u/>
      <sz val="11.0"/>
      <color rgb="FF0000FF"/>
      <name val="Calibri"/>
    </font>
    <font>
      <b/>
      <sz val="11.0"/>
      <color theme="0"/>
      <name val="Calibri"/>
    </font>
    <font>
      <b/>
      <sz val="11.0"/>
      <color theme="1"/>
      <name val="Calibri"/>
    </font>
    <font>
      <b/>
      <color rgb="FFFFFFFF"/>
      <name val="Arial"/>
      <scheme val="minor"/>
    </font>
    <font>
      <b/>
      <color theme="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44546A"/>
        <bgColor rgb="FF44546A"/>
      </patternFill>
    </fill>
    <fill>
      <patternFill patternType="solid">
        <fgColor theme="7"/>
        <bgColor theme="7"/>
      </patternFill>
    </fill>
    <fill>
      <patternFill patternType="solid">
        <fgColor rgb="FF5B9BD5"/>
        <bgColor rgb="FF5B9BD5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0" fillId="2" fontId="2" numFmtId="0" xfId="0" applyAlignment="1" applyFont="1">
      <alignment readingOrder="0" shrinkToFit="0" vertical="bottom" wrapText="0"/>
    </xf>
    <xf borderId="0" fillId="3" fontId="1" numFmtId="0" xfId="0" applyAlignment="1" applyFill="1" applyFont="1">
      <alignment shrinkToFit="0" vertical="bottom" wrapText="0"/>
    </xf>
    <xf borderId="0" fillId="0" fontId="3" numFmtId="0" xfId="0" applyAlignment="1" applyFont="1">
      <alignment horizontal="center" readingOrder="0"/>
    </xf>
    <xf borderId="0" fillId="4" fontId="2" numFmtId="0" xfId="0" applyAlignment="1" applyFill="1" applyFont="1">
      <alignment readingOrder="0" shrinkToFit="0" vertical="bottom" wrapText="0"/>
    </xf>
    <xf borderId="0" fillId="4" fontId="1" numFmtId="0" xfId="0" applyAlignment="1" applyFont="1">
      <alignment readingOrder="0" shrinkToFit="0" vertical="bottom" wrapText="0"/>
    </xf>
    <xf borderId="0" fillId="4" fontId="1" numFmtId="0" xfId="0" applyAlignment="1" applyFont="1">
      <alignment horizontal="right" readingOrder="0" shrinkToFit="0" vertical="bottom" wrapText="0"/>
    </xf>
    <xf borderId="0" fillId="4" fontId="1" numFmtId="164" xfId="0" applyAlignment="1" applyFont="1" applyNumberFormat="1">
      <alignment horizontal="right" readingOrder="0" shrinkToFit="0" vertical="bottom" wrapText="0"/>
    </xf>
    <xf borderId="0" fillId="4" fontId="4" numFmtId="0" xfId="0" applyAlignment="1" applyFont="1">
      <alignment readingOrder="0" shrinkToFit="0" vertical="bottom" wrapText="0"/>
    </xf>
    <xf borderId="0" fillId="5" fontId="1" numFmtId="0" xfId="0" applyAlignment="1" applyFill="1" applyFont="1">
      <alignment shrinkToFit="0" vertical="bottom" wrapText="0"/>
    </xf>
    <xf borderId="0" fillId="0" fontId="5" numFmtId="165" xfId="0" applyAlignment="1" applyFont="1" applyNumberFormat="1">
      <alignment horizontal="left" readingOrder="0"/>
    </xf>
    <xf borderId="0" fillId="6" fontId="2" numFmtId="0" xfId="0" applyAlignment="1" applyFill="1" applyFont="1">
      <alignment readingOrder="0" shrinkToFit="0" vertical="bottom" wrapText="0"/>
    </xf>
    <xf borderId="0" fillId="6" fontId="1" numFmtId="0" xfId="0" applyAlignment="1" applyFont="1">
      <alignment readingOrder="0" shrinkToFit="0" vertical="bottom" wrapText="0"/>
    </xf>
    <xf borderId="0" fillId="6" fontId="1" numFmtId="0" xfId="0" applyAlignment="1" applyFont="1">
      <alignment horizontal="right" readingOrder="0" shrinkToFit="0" vertical="bottom" wrapText="0"/>
    </xf>
    <xf borderId="0" fillId="6" fontId="1" numFmtId="164" xfId="0" applyAlignment="1" applyFont="1" applyNumberFormat="1">
      <alignment horizontal="right" readingOrder="0" shrinkToFit="0" vertical="bottom" wrapText="0"/>
    </xf>
    <xf borderId="0" fillId="6" fontId="6" numFmtId="0" xfId="0" applyAlignment="1" applyFont="1">
      <alignment readingOrder="0" shrinkToFit="0" vertical="bottom" wrapText="0"/>
    </xf>
    <xf borderId="0" fillId="4" fontId="1" numFmtId="164" xfId="0" applyAlignment="1" applyFont="1" applyNumberFormat="1">
      <alignment readingOrder="0" shrinkToFit="0" vertical="bottom" wrapText="0"/>
    </xf>
    <xf borderId="0" fillId="4" fontId="1" numFmtId="0" xfId="0" applyAlignment="1" applyFont="1">
      <alignment shrinkToFit="0" vertical="bottom" wrapText="0"/>
    </xf>
    <xf borderId="0" fillId="6" fontId="1" numFmtId="0" xfId="0" applyAlignment="1" applyFont="1">
      <alignment shrinkToFit="0" vertical="bottom" wrapText="0"/>
    </xf>
    <xf borderId="0" fillId="6" fontId="1" numFmtId="164" xfId="0" applyAlignment="1" applyFont="1" applyNumberFormat="1">
      <alignment readingOrder="0" shrinkToFit="0" vertical="bottom" wrapText="0"/>
    </xf>
    <xf borderId="0" fillId="0" fontId="5" numFmtId="165" xfId="0" applyAlignment="1" applyFont="1" applyNumberFormat="1">
      <alignment readingOrder="0"/>
    </xf>
    <xf borderId="0" fillId="6" fontId="7" numFmtId="0" xfId="0" applyAlignment="1" applyFont="1">
      <alignment readingOrder="0" shrinkToFit="0" vertical="bottom" wrapText="0"/>
    </xf>
    <xf borderId="0" fillId="4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4" fontId="8" numFmtId="0" xfId="0" applyAlignment="1" applyFont="1">
      <alignment readingOrder="0" shrinkToFit="0" vertical="bottom" wrapText="0"/>
    </xf>
    <xf borderId="0" fillId="4" fontId="1" numFmtId="0" xfId="0" applyAlignment="1" applyFont="1">
      <alignment readingOrder="0" shrinkToFit="0" vertical="bottom" wrapText="0"/>
    </xf>
    <xf borderId="0" fillId="6" fontId="9" numFmtId="0" xfId="0" applyAlignment="1" applyFont="1">
      <alignment readingOrder="0"/>
    </xf>
    <xf borderId="0" fillId="6" fontId="10" numFmtId="164" xfId="0" applyAlignment="1" applyFont="1" applyNumberFormat="1">
      <alignment readingOrder="0"/>
    </xf>
    <xf borderId="0" fillId="6" fontId="5" numFmtId="0" xfId="0" applyFont="1"/>
    <xf borderId="0" fillId="5" fontId="5" numFmtId="0" xfId="0" applyFont="1"/>
    <xf borderId="0" fillId="6" fontId="2" numFmtId="164" xfId="0" applyAlignment="1" applyFont="1" applyNumberFormat="1">
      <alignment horizontal="right" readingOrder="0" shrinkToFit="0" vertical="bottom" wrapText="0"/>
    </xf>
    <xf borderId="0" fillId="0" fontId="5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3d-proto.de/index.php?p=shop_vslot" TargetMode="External"/><Relationship Id="rId22" Type="http://schemas.openxmlformats.org/officeDocument/2006/relationships/hyperlink" Target="https://www.3d-proto.de/index.php?p=shop_3ddruckerzubehoer" TargetMode="External"/><Relationship Id="rId21" Type="http://schemas.openxmlformats.org/officeDocument/2006/relationships/hyperlink" Target="https://www.3d-proto.de/index.php?p=shop_vslot" TargetMode="External"/><Relationship Id="rId24" Type="http://schemas.openxmlformats.org/officeDocument/2006/relationships/hyperlink" Target="https://www.3d-proto.de/index.php?p=shop_3ddruckerzubehoer" TargetMode="External"/><Relationship Id="rId23" Type="http://schemas.openxmlformats.org/officeDocument/2006/relationships/hyperlink" Target="https://www.3d-proto.de/index.php?p=shop_3ddruckerzubehoer" TargetMode="External"/><Relationship Id="rId1" Type="http://schemas.openxmlformats.org/officeDocument/2006/relationships/hyperlink" Target="https://www.amazon.de/dp/B0G2RBLQZ2?ref=ppx_yo2ov_dt_b_fed_asin_title" TargetMode="External"/><Relationship Id="rId2" Type="http://schemas.openxmlformats.org/officeDocument/2006/relationships/hyperlink" Target="https://www.berrybase.at/membran-folientastatur-4x4-mit-klebeschicht" TargetMode="External"/><Relationship Id="rId3" Type="http://schemas.openxmlformats.org/officeDocument/2006/relationships/hyperlink" Target="https://www.berrybase.at/esp32-nodemcu-development-board" TargetMode="External"/><Relationship Id="rId4" Type="http://schemas.openxmlformats.org/officeDocument/2006/relationships/hyperlink" Target="https://www.amazon.de/dp/B086W7T5XC?ref=ppx_yo2ov_dt_b_fed_asin_title&amp;th=1" TargetMode="External"/><Relationship Id="rId9" Type="http://schemas.openxmlformats.org/officeDocument/2006/relationships/hyperlink" Target="https://www.amazon.de/your-orders/pop?ref=ppx_yo2ov_dt_b_pop&amp;orderId=303-0453900-5985902&amp;lineItemId=ogrhqpntqqnoqoy&amp;shipmentId=TV1V1RP6R&amp;packageId=1&amp;asin=B07C2V9GWC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s://www.amazon.de/Netzteil-100-240V-Transformator-Netzadapter-Netzkabel/dp/B0DMSTNZLW/ref=sr_1_20_sspa?__mk_de_DE=%C3%85M%C3%85%C5%BD%C3%95%C3%91&amp;crid=35YGYJD2RF1DB&amp;dib=eyJ2IjoiMSJ9.TgrW8e1smPdgfgIFMR6l2u1aCm03q_bCBuKmiFKBIrVrDfDQyJ21HB_kRv-LUV8Vwws3CwOVzAqFZUZsO9U-tz4sDAvWupHA6IkfcwheavJNNmUZ_q1A3Z_Mq1jRV7KcAQTyxa5-P4EMhHXSwp80_lDd-WgqPw82XZEExWXIDW3YXfYB9Z_Un-JPnwG51bdTOSJ5VCSXk5DwfPo_h6rVnCSwBCVbLzNT7B0S8Yh8cLouXkMAFt2a8CbZek_0HpLRhuIogUq38mhhvuFbnzXH7mj_XNZXB1584QUXp0zPOQs.7iMGW2mZcvt7qjempuy_Q9A9FA_EEuJ8G1LpFBBfsfs&amp;dib_tag=se&amp;keywords=netzteil+230v+ac+24v+dc+mit+schraubklemmen+ausgaben&amp;qid=1771940789&amp;sprefix=netzteil+230v+ac+24v+dc+mit+schraubklemmen+ausgaben%2Caps%2C99&amp;sr=8-20-spons&amp;aref=q9h9gpTteN&amp;sp_csd=d2lkZ2V0TmFtZT1zcF9tdGY&amp;psc=1" TargetMode="External"/><Relationship Id="rId6" Type="http://schemas.openxmlformats.org/officeDocument/2006/relationships/hyperlink" Target="https://www.amazon.de/LAOMAO-Converter-1-25-36V-Einstellbares-kompatibel/dp/B0DPLBCKT7?__mk_de_DE=%C3%85M%C3%85%C5%BD%C3%95%C3%91&amp;crid=3MZFFQP4AY00Q&amp;dib=eyJ2IjoiMSJ9.PAjwozMTdGb03omUxQrp3XofTV89HykNWRjHkl4cLeZdQdL1vZqifUlBmUKPqMNeEPJECtzMnDpc2CcjNy6FewMZ7BybKJKtiZT4KOfcUSc5EN2jfxal3TOo-S_XI1GUAvqJS_lB1ArZSiJev9-8p4ELN0uafgfa3fu8XPcyAYl5VTQejAOdykJehDt6nAO5Swuc5OcSIZHymqqlBAnLpPqMe8geK6Ghgkbora6IYexZDg0gFCPmuTro6uV8l5vaaDAoZqyvHQ-1b2cc-9lK8tOqd0BOp_grlJa5vvrZP1M.2-apLZU-2_87M946MdLt38DR2hgH9ZkErlPsHbERdLk&amp;dib_tag=se&amp;keywords=Step-Down+Netzteilmodul+4-38V+%E2%86%92+1%2C25-36V+%2F+5A+mit+Schraubklemmen&amp;qid=1777813705&amp;sprefix=step-down+netzteilmodul+4-38v+1+25-36v+%2F+5a+mit+schraubklemmen%2Caps%2C135&amp;sr=8-1" TargetMode="External"/><Relationship Id="rId7" Type="http://schemas.openxmlformats.org/officeDocument/2006/relationships/hyperlink" Target="https://www.amazon.de/Heschen-Elektromagnet-Magnet-Magnetspule-rund-Silber-DC/dp/B078KNDYTR" TargetMode="External"/><Relationship Id="rId8" Type="http://schemas.openxmlformats.org/officeDocument/2006/relationships/hyperlink" Target="https://www.berrybase.at/act-motor-nema17-stepper-motor-17hs5413-1.80-schrittwinkel-0.52-nm-haltemoment-1.3-a" TargetMode="External"/><Relationship Id="rId11" Type="http://schemas.openxmlformats.org/officeDocument/2006/relationships/hyperlink" Target="https://wwwww.amazon.de/3D-Druck-Filament-High-Speed-PLA-Filament-Kartonspule-Ma%C3%9Fgenauigkeit-3D-FDM-Drucker/dp/B0CT8SBDYL/ref=sr_1_10?__mk_de_DE=%C3%85M%C3%85%C5%BD%C3%95%C3%91&amp;crid=3H6NNU3AQEFY0&amp;dib=eyJ2IjoiMSJ9.EUKdJhH8N5kMm-71FTptk-orJdGw36XNl5iS8jUZJdFYe-6RXDR15e7U7uwEAzNma_5Wm0m8eA3T_5TYM2szQIsf-PREhuF_-eE10qswBc-5w1iPzbnewh_ySZNC8D_D328qhXWOnof_0D3NbdxJlXOGKXsc9vdGHbffkdD9IB8ADQKLwcE-_6UOwTWDAeQvxzudbmKoQy0Fue9NVcecpTqpW4USFophZoOBy321ERlMZElo57dqnzaB9OGcObbi3hdydbkeMdzlUpWVmu0gJXc-tk-vtOrjS4TFDMwEm9Q.bU0fCwOyFddHTPNZA0xsLbnW7aofys6x4U6YRNHQUmM&amp;dib_tag=se&amp;keywords=3d%2Bfilament%2BPLA%2Bbasic&amp;qid=1771926673&amp;sprefix=3d%2Bfilament%2Bpla%2Bbasi%2Caps%2C115&amp;sr=8-10&amp;th=1w.berrybase.at/kupferschaltdraht-isoliert-oe0-5mm-10m/farbe-schwarz" TargetMode="External"/><Relationship Id="rId10" Type="http://schemas.openxmlformats.org/officeDocument/2006/relationships/hyperlink" Target="https://www.amazon.de/TUOFENG-Elektronik-kabel-Silikondraht-Verzinnter-Kupferdraht/dp/B0CM328WDL?__mk_de_DE=%C3%85M%C3%85%C5%BD%C3%95%C3%91&amp;crid=YYMHZ1SHHBR8&amp;dib=eyJ2IjoiMSJ9._pNh0j0lyUxgXNFVI5RjZoWKChsf6zDBTuK4v69UreC8O8ZBRswgW_kMA9BgVSX9UoDufqXCJTLEv_vd1x5QTI5Zchx_mPy8kgeYMx2W0J5BjAMM_JYctRgLfVKolFn19ADVBxnFAVkipBwWIfey3RHPJTgiBZn1cpW19q9N4hDememIRn41Y2ZLLSLymvGbDQx40zIFyOVB-k9vNMzJ53F65pwJkMDdKN8oJ71uBxiI0BWZolyUg7GxSork2jdlXrXddw4LBUXg7DuCW_eg-eqpC2SknsF8AP0qZ732tOE.AMYIrXka0dF3CShvLFXmn1LuKQ6BDIOCx3qenJDgawQ&amp;dib_tag=se&amp;keywords=kupferdraht%2Blitze&amp;qid=1777814715&amp;sprefix=kupferdraht%2Blizen%2Caps%2C114&amp;sr=8-17&amp;th=1" TargetMode="External"/><Relationship Id="rId13" Type="http://schemas.openxmlformats.org/officeDocument/2006/relationships/hyperlink" Target="https://www.3d-proto.de/index.php?p=shop_vslot" TargetMode="External"/><Relationship Id="rId12" Type="http://schemas.openxmlformats.org/officeDocument/2006/relationships/hyperlink" Target="https://www.amazon.de/dp/B0FWDTDZ7C?ref=ppx_yo2ov_dt_b_fed_asin_title&amp;th=1" TargetMode="External"/><Relationship Id="rId15" Type="http://schemas.openxmlformats.org/officeDocument/2006/relationships/hyperlink" Target="https://www.3d-proto.de/index.php?p=shop_vslot" TargetMode="External"/><Relationship Id="rId14" Type="http://schemas.openxmlformats.org/officeDocument/2006/relationships/hyperlink" Target="https://www.3d-proto.de/index.php?p=shop_vslot" TargetMode="External"/><Relationship Id="rId17" Type="http://schemas.openxmlformats.org/officeDocument/2006/relationships/hyperlink" Target="https://www.3d-proto.de/index.php?p=shop_vslot" TargetMode="External"/><Relationship Id="rId16" Type="http://schemas.openxmlformats.org/officeDocument/2006/relationships/hyperlink" Target="https://www.3d-proto.de/index.php?p=shop_vslot" TargetMode="External"/><Relationship Id="rId19" Type="http://schemas.openxmlformats.org/officeDocument/2006/relationships/hyperlink" Target="https://www.3d-proto.de/index.php?p=shop_vslot" TargetMode="External"/><Relationship Id="rId18" Type="http://schemas.openxmlformats.org/officeDocument/2006/relationships/hyperlink" Target="https://www.3d-proto.de/index.php?p=shop_vslo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24.13"/>
    <col customWidth="1" min="4" max="4" width="11.63"/>
    <col customWidth="1" min="5" max="5" width="13.5"/>
    <col customWidth="1" min="6" max="6" width="30.38"/>
    <col customWidth="1" min="9" max="9" width="31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/>
      <c r="K1" s="4"/>
      <c r="L1" s="3"/>
      <c r="M1" s="3"/>
      <c r="N1" s="3"/>
    </row>
    <row r="2">
      <c r="A2" s="5" t="s">
        <v>8</v>
      </c>
      <c r="B2" s="6" t="s">
        <v>9</v>
      </c>
      <c r="C2" s="7">
        <v>10.0</v>
      </c>
      <c r="D2" s="8">
        <v>0.59</v>
      </c>
      <c r="E2" s="8">
        <f>C2*D2</f>
        <v>5.9</v>
      </c>
      <c r="F2" s="6" t="s">
        <v>10</v>
      </c>
      <c r="G2" s="9" t="s">
        <v>11</v>
      </c>
      <c r="H2" s="10"/>
      <c r="I2" s="10"/>
      <c r="J2" s="3"/>
      <c r="K2" s="11"/>
      <c r="L2" s="3"/>
      <c r="M2" s="3"/>
      <c r="N2" s="3"/>
    </row>
    <row r="3">
      <c r="A3" s="5"/>
      <c r="B3" s="6" t="s">
        <v>12</v>
      </c>
      <c r="C3" s="7">
        <v>1.0</v>
      </c>
      <c r="D3" s="8">
        <v>0.0</v>
      </c>
      <c r="E3" s="8">
        <v>0.0</v>
      </c>
      <c r="F3" s="6" t="s">
        <v>13</v>
      </c>
      <c r="G3" s="9" t="s">
        <v>14</v>
      </c>
      <c r="H3" s="10"/>
      <c r="I3" s="10"/>
      <c r="J3" s="3"/>
      <c r="K3" s="11"/>
      <c r="L3" s="3"/>
      <c r="M3" s="3"/>
      <c r="N3" s="3"/>
    </row>
    <row r="4">
      <c r="A4" s="5" t="s">
        <v>15</v>
      </c>
      <c r="B4" s="6" t="s">
        <v>16</v>
      </c>
      <c r="C4" s="6">
        <v>3.0</v>
      </c>
      <c r="D4" s="8">
        <v>17.14</v>
      </c>
      <c r="E4" s="8">
        <f t="shared" ref="E4:E25" si="1">D4*C4</f>
        <v>51.42</v>
      </c>
      <c r="F4" s="6" t="s">
        <v>17</v>
      </c>
      <c r="G4" s="6" t="s">
        <v>18</v>
      </c>
      <c r="H4" s="10"/>
      <c r="I4" s="10"/>
      <c r="J4" s="3"/>
      <c r="K4" s="11"/>
      <c r="L4" s="3"/>
      <c r="M4" s="3"/>
      <c r="N4" s="3"/>
    </row>
    <row r="5">
      <c r="A5" s="12" t="s">
        <v>19</v>
      </c>
      <c r="B5" s="13" t="s">
        <v>20</v>
      </c>
      <c r="C5" s="14">
        <v>1.0</v>
      </c>
      <c r="D5" s="15">
        <v>6.8</v>
      </c>
      <c r="E5" s="15">
        <f t="shared" si="1"/>
        <v>6.8</v>
      </c>
      <c r="F5" s="13" t="s">
        <v>21</v>
      </c>
      <c r="G5" s="16" t="s">
        <v>11</v>
      </c>
      <c r="H5" s="10"/>
      <c r="I5" s="10"/>
      <c r="J5" s="3"/>
      <c r="K5" s="11"/>
      <c r="L5" s="3"/>
      <c r="M5" s="3"/>
      <c r="N5" s="3"/>
    </row>
    <row r="6">
      <c r="A6" s="12"/>
      <c r="B6" s="13" t="s">
        <v>22</v>
      </c>
      <c r="C6" s="14">
        <v>1.0</v>
      </c>
      <c r="D6" s="15">
        <v>9.0</v>
      </c>
      <c r="E6" s="15">
        <f t="shared" si="1"/>
        <v>9</v>
      </c>
      <c r="F6" s="13" t="s">
        <v>23</v>
      </c>
      <c r="G6" s="16" t="s">
        <v>11</v>
      </c>
      <c r="H6" s="10"/>
      <c r="I6" s="10"/>
      <c r="J6" s="3"/>
      <c r="K6" s="11"/>
      <c r="L6" s="3"/>
      <c r="M6" s="3"/>
      <c r="N6" s="3"/>
    </row>
    <row r="7">
      <c r="A7" s="5" t="s">
        <v>24</v>
      </c>
      <c r="B7" s="6" t="s">
        <v>25</v>
      </c>
      <c r="C7" s="6">
        <v>1.0</v>
      </c>
      <c r="D7" s="17">
        <v>18.14</v>
      </c>
      <c r="E7" s="8">
        <f t="shared" si="1"/>
        <v>18.14</v>
      </c>
      <c r="F7" s="6" t="s">
        <v>26</v>
      </c>
      <c r="G7" s="9" t="s">
        <v>11</v>
      </c>
      <c r="H7" s="10"/>
      <c r="I7" s="10"/>
      <c r="J7" s="3"/>
      <c r="K7" s="11"/>
      <c r="L7" s="3"/>
      <c r="M7" s="3"/>
      <c r="N7" s="3"/>
    </row>
    <row r="8">
      <c r="A8" s="18"/>
      <c r="B8" s="6" t="s">
        <v>27</v>
      </c>
      <c r="C8" s="7">
        <v>3.0</v>
      </c>
      <c r="D8" s="8">
        <v>2.68</v>
      </c>
      <c r="E8" s="8">
        <f t="shared" si="1"/>
        <v>8.04</v>
      </c>
      <c r="F8" s="6" t="s">
        <v>28</v>
      </c>
      <c r="G8" s="9" t="s">
        <v>11</v>
      </c>
      <c r="H8" s="10"/>
      <c r="I8" s="10"/>
      <c r="J8" s="3"/>
      <c r="K8" s="11"/>
      <c r="L8" s="3"/>
      <c r="M8" s="3"/>
      <c r="N8" s="3"/>
    </row>
    <row r="9">
      <c r="A9" s="12" t="s">
        <v>29</v>
      </c>
      <c r="B9" s="13" t="s">
        <v>30</v>
      </c>
      <c r="C9" s="14">
        <v>1.0</v>
      </c>
      <c r="D9" s="15">
        <v>8.05</v>
      </c>
      <c r="E9" s="15">
        <f t="shared" si="1"/>
        <v>8.05</v>
      </c>
      <c r="F9" s="13" t="s">
        <v>31</v>
      </c>
      <c r="G9" s="16" t="s">
        <v>11</v>
      </c>
      <c r="H9" s="10"/>
      <c r="I9" s="10"/>
      <c r="J9" s="3"/>
      <c r="K9" s="11"/>
      <c r="L9" s="3"/>
      <c r="M9" s="3"/>
      <c r="N9" s="3"/>
    </row>
    <row r="10">
      <c r="A10" s="19"/>
      <c r="B10" s="13" t="s">
        <v>32</v>
      </c>
      <c r="C10" s="13">
        <v>50.0</v>
      </c>
      <c r="D10" s="20">
        <v>0.14</v>
      </c>
      <c r="E10" s="15">
        <f t="shared" si="1"/>
        <v>7</v>
      </c>
      <c r="F10" s="13" t="s">
        <v>33</v>
      </c>
      <c r="G10" s="13" t="s">
        <v>34</v>
      </c>
      <c r="H10" s="10"/>
      <c r="I10" s="10"/>
      <c r="J10" s="3"/>
      <c r="K10" s="11"/>
      <c r="L10" s="3"/>
      <c r="M10" s="3"/>
      <c r="N10" s="3"/>
    </row>
    <row r="11">
      <c r="A11" s="19"/>
      <c r="B11" s="13" t="s">
        <v>32</v>
      </c>
      <c r="C11" s="13">
        <v>20.0</v>
      </c>
      <c r="D11" s="20">
        <v>0.25</v>
      </c>
      <c r="E11" s="15">
        <f t="shared" si="1"/>
        <v>5</v>
      </c>
      <c r="F11" s="13" t="s">
        <v>33</v>
      </c>
      <c r="G11" s="13" t="s">
        <v>34</v>
      </c>
      <c r="H11" s="10"/>
      <c r="I11" s="10"/>
      <c r="J11" s="3"/>
      <c r="K11" s="11"/>
      <c r="L11" s="3"/>
      <c r="M11" s="3"/>
      <c r="N11" s="3"/>
    </row>
    <row r="12">
      <c r="A12" s="19"/>
      <c r="B12" s="13" t="s">
        <v>35</v>
      </c>
      <c r="C12" s="13">
        <v>1.0</v>
      </c>
      <c r="D12" s="20">
        <v>1.0</v>
      </c>
      <c r="E12" s="15">
        <f t="shared" si="1"/>
        <v>1</v>
      </c>
      <c r="F12" s="13" t="s">
        <v>36</v>
      </c>
      <c r="G12" s="13" t="s">
        <v>37</v>
      </c>
      <c r="H12" s="10"/>
      <c r="I12" s="10"/>
      <c r="J12" s="3"/>
      <c r="K12" s="21"/>
      <c r="L12" s="3"/>
      <c r="M12" s="3"/>
      <c r="N12" s="3"/>
    </row>
    <row r="13">
      <c r="A13" s="5" t="s">
        <v>38</v>
      </c>
      <c r="B13" s="6" t="s">
        <v>39</v>
      </c>
      <c r="C13" s="7">
        <v>3.0</v>
      </c>
      <c r="D13" s="8">
        <v>11.9</v>
      </c>
      <c r="E13" s="8">
        <f t="shared" si="1"/>
        <v>35.7</v>
      </c>
      <c r="F13" s="6" t="s">
        <v>40</v>
      </c>
      <c r="G13" s="9" t="s">
        <v>11</v>
      </c>
      <c r="H13" s="10"/>
      <c r="I13" s="10"/>
      <c r="J13" s="3"/>
      <c r="K13" s="11"/>
      <c r="L13" s="3"/>
      <c r="M13" s="3"/>
      <c r="N13" s="3"/>
    </row>
    <row r="14">
      <c r="A14" s="18"/>
      <c r="B14" s="6" t="s">
        <v>41</v>
      </c>
      <c r="C14" s="7">
        <v>3.0</v>
      </c>
      <c r="D14" s="8">
        <v>7.68</v>
      </c>
      <c r="E14" s="8">
        <f t="shared" si="1"/>
        <v>23.04</v>
      </c>
      <c r="F14" s="6" t="s">
        <v>42</v>
      </c>
      <c r="G14" s="9" t="s">
        <v>11</v>
      </c>
      <c r="H14" s="10"/>
      <c r="I14" s="10"/>
      <c r="J14" s="3"/>
      <c r="K14" s="11"/>
      <c r="L14" s="3"/>
      <c r="M14" s="3"/>
      <c r="N14" s="3"/>
    </row>
    <row r="15">
      <c r="A15" s="12" t="s">
        <v>43</v>
      </c>
      <c r="B15" s="13" t="s">
        <v>44</v>
      </c>
      <c r="C15" s="14">
        <v>6.0</v>
      </c>
      <c r="D15" s="15">
        <v>3.02</v>
      </c>
      <c r="E15" s="15">
        <f t="shared" si="1"/>
        <v>18.12</v>
      </c>
      <c r="F15" s="13" t="s">
        <v>45</v>
      </c>
      <c r="G15" s="16" t="s">
        <v>46</v>
      </c>
      <c r="H15" s="10"/>
      <c r="I15" s="10"/>
      <c r="J15" s="3"/>
      <c r="K15" s="11"/>
      <c r="L15" s="3"/>
      <c r="M15" s="3"/>
      <c r="N15" s="3"/>
    </row>
    <row r="16">
      <c r="A16" s="19"/>
      <c r="B16" s="13" t="s">
        <v>47</v>
      </c>
      <c r="C16" s="14">
        <v>1.0</v>
      </c>
      <c r="D16" s="15">
        <v>10.58</v>
      </c>
      <c r="E16" s="15">
        <f t="shared" si="1"/>
        <v>10.58</v>
      </c>
      <c r="F16" s="13" t="s">
        <v>48</v>
      </c>
      <c r="G16" s="16" t="s">
        <v>11</v>
      </c>
      <c r="H16" s="10"/>
      <c r="I16" s="10"/>
      <c r="J16" s="3"/>
      <c r="K16" s="11"/>
      <c r="L16" s="3"/>
      <c r="M16" s="3"/>
      <c r="N16" s="3"/>
    </row>
    <row r="17">
      <c r="A17" s="19"/>
      <c r="B17" s="13" t="s">
        <v>49</v>
      </c>
      <c r="C17" s="14">
        <v>1.0</v>
      </c>
      <c r="D17" s="15">
        <v>11.39</v>
      </c>
      <c r="E17" s="15">
        <f t="shared" si="1"/>
        <v>11.39</v>
      </c>
      <c r="F17" s="13" t="s">
        <v>48</v>
      </c>
      <c r="G17" s="13" t="s">
        <v>50</v>
      </c>
      <c r="H17" s="10"/>
      <c r="I17" s="10"/>
      <c r="J17" s="3"/>
      <c r="K17" s="11"/>
      <c r="L17" s="3"/>
      <c r="M17" s="3"/>
      <c r="N17" s="3"/>
    </row>
    <row r="18">
      <c r="A18" s="19"/>
      <c r="B18" s="13" t="s">
        <v>51</v>
      </c>
      <c r="C18" s="14">
        <v>1.0</v>
      </c>
      <c r="D18" s="15">
        <v>17.5</v>
      </c>
      <c r="E18" s="15">
        <f t="shared" si="1"/>
        <v>17.5</v>
      </c>
      <c r="F18" s="13" t="s">
        <v>52</v>
      </c>
      <c r="G18" s="16" t="s">
        <v>11</v>
      </c>
      <c r="H18" s="10"/>
      <c r="I18" s="10"/>
      <c r="J18" s="3"/>
      <c r="K18" s="11"/>
      <c r="L18" s="3"/>
      <c r="M18" s="3"/>
      <c r="N18" s="3"/>
    </row>
    <row r="19">
      <c r="A19" s="19"/>
      <c r="B19" s="13" t="s">
        <v>53</v>
      </c>
      <c r="C19" s="14">
        <v>1.0</v>
      </c>
      <c r="D19" s="15">
        <v>5.5</v>
      </c>
      <c r="E19" s="15">
        <f t="shared" si="1"/>
        <v>5.5</v>
      </c>
      <c r="F19" s="13" t="s">
        <v>54</v>
      </c>
      <c r="G19" s="22" t="s">
        <v>55</v>
      </c>
      <c r="H19" s="10"/>
      <c r="I19" s="10"/>
      <c r="J19" s="3"/>
      <c r="K19" s="11"/>
      <c r="L19" s="3"/>
      <c r="M19" s="3"/>
      <c r="N19" s="3"/>
    </row>
    <row r="20">
      <c r="A20" s="5" t="s">
        <v>56</v>
      </c>
      <c r="B20" s="6" t="s">
        <v>57</v>
      </c>
      <c r="C20" s="7">
        <v>1.0</v>
      </c>
      <c r="D20" s="8">
        <v>0.0</v>
      </c>
      <c r="E20" s="8">
        <f t="shared" si="1"/>
        <v>0</v>
      </c>
      <c r="F20" s="18"/>
      <c r="G20" s="23" t="s">
        <v>58</v>
      </c>
      <c r="H20" s="10"/>
      <c r="I20" s="10"/>
      <c r="J20" s="3"/>
      <c r="K20" s="11"/>
      <c r="L20" s="3"/>
      <c r="M20" s="3"/>
      <c r="N20" s="3"/>
    </row>
    <row r="21">
      <c r="A21" s="12" t="s">
        <v>59</v>
      </c>
      <c r="B21" s="13" t="s">
        <v>60</v>
      </c>
      <c r="C21" s="14">
        <v>2.0</v>
      </c>
      <c r="D21" s="15">
        <v>24.25</v>
      </c>
      <c r="E21" s="15">
        <f t="shared" si="1"/>
        <v>48.5</v>
      </c>
      <c r="F21" s="13" t="s">
        <v>61</v>
      </c>
      <c r="G21" s="16" t="s">
        <v>11</v>
      </c>
      <c r="H21" s="10"/>
      <c r="I21" s="10"/>
      <c r="J21" s="24"/>
      <c r="K21" s="11"/>
      <c r="L21" s="24"/>
      <c r="M21" s="24"/>
      <c r="N21" s="24"/>
    </row>
    <row r="22">
      <c r="A22" s="19"/>
      <c r="B22" s="13" t="s">
        <v>62</v>
      </c>
      <c r="C22" s="14">
        <v>1.0</v>
      </c>
      <c r="D22" s="15">
        <v>2.5</v>
      </c>
      <c r="E22" s="15">
        <f t="shared" si="1"/>
        <v>2.5</v>
      </c>
      <c r="F22" s="13" t="s">
        <v>63</v>
      </c>
      <c r="G22" s="16" t="s">
        <v>11</v>
      </c>
      <c r="H22" s="10"/>
      <c r="I22" s="10"/>
      <c r="J22" s="24"/>
      <c r="K22" s="11"/>
      <c r="L22" s="24"/>
      <c r="M22" s="24"/>
      <c r="N22" s="24"/>
    </row>
    <row r="23">
      <c r="A23" s="19"/>
      <c r="B23" s="13" t="s">
        <v>64</v>
      </c>
      <c r="C23" s="14">
        <v>1.0</v>
      </c>
      <c r="D23" s="15">
        <v>14.0</v>
      </c>
      <c r="E23" s="15">
        <f t="shared" si="1"/>
        <v>14</v>
      </c>
      <c r="F23" s="13" t="s">
        <v>65</v>
      </c>
      <c r="G23" s="16" t="s">
        <v>11</v>
      </c>
      <c r="H23" s="10"/>
      <c r="I23" s="10"/>
      <c r="J23" s="24"/>
      <c r="K23" s="11"/>
      <c r="L23" s="24"/>
      <c r="M23" s="24"/>
      <c r="N23" s="24"/>
    </row>
    <row r="24">
      <c r="A24" s="5" t="s">
        <v>66</v>
      </c>
      <c r="B24" s="6" t="s">
        <v>67</v>
      </c>
      <c r="C24" s="7">
        <v>1.0</v>
      </c>
      <c r="D24" s="8">
        <v>16.5</v>
      </c>
      <c r="E24" s="8">
        <f t="shared" si="1"/>
        <v>16.5</v>
      </c>
      <c r="F24" s="6" t="s">
        <v>68</v>
      </c>
      <c r="G24" s="9" t="s">
        <v>11</v>
      </c>
      <c r="H24" s="10"/>
      <c r="I24" s="10"/>
      <c r="K24" s="11"/>
    </row>
    <row r="25">
      <c r="A25" s="18"/>
      <c r="B25" s="6" t="s">
        <v>62</v>
      </c>
      <c r="C25" s="7">
        <v>1.0</v>
      </c>
      <c r="D25" s="8">
        <v>2.4</v>
      </c>
      <c r="E25" s="8">
        <f t="shared" si="1"/>
        <v>2.4</v>
      </c>
      <c r="F25" s="6" t="s">
        <v>69</v>
      </c>
      <c r="G25" s="9" t="s">
        <v>11</v>
      </c>
      <c r="H25" s="10"/>
      <c r="I25" s="10"/>
      <c r="K25" s="11"/>
    </row>
    <row r="26">
      <c r="A26" s="18"/>
      <c r="B26" s="6" t="s">
        <v>70</v>
      </c>
      <c r="C26" s="7">
        <v>1.0</v>
      </c>
      <c r="D26" s="8">
        <v>4.0</v>
      </c>
      <c r="E26" s="8">
        <f>C26*D26</f>
        <v>4</v>
      </c>
      <c r="F26" s="6" t="s">
        <v>71</v>
      </c>
      <c r="G26" s="25"/>
      <c r="H26" s="10"/>
      <c r="I26" s="10"/>
      <c r="K26" s="11"/>
    </row>
    <row r="27">
      <c r="A27" s="12" t="s">
        <v>72</v>
      </c>
      <c r="B27" s="13" t="s">
        <v>62</v>
      </c>
      <c r="C27" s="14">
        <v>2.0</v>
      </c>
      <c r="D27" s="15">
        <v>4.25</v>
      </c>
      <c r="E27" s="15">
        <f t="shared" ref="E27:E37" si="2">D27*C27</f>
        <v>8.5</v>
      </c>
      <c r="F27" s="13" t="s">
        <v>73</v>
      </c>
      <c r="G27" s="16" t="s">
        <v>11</v>
      </c>
      <c r="H27" s="10"/>
      <c r="I27" s="10"/>
      <c r="K27" s="11"/>
    </row>
    <row r="28">
      <c r="A28" s="19"/>
      <c r="B28" s="13" t="s">
        <v>74</v>
      </c>
      <c r="C28" s="14">
        <v>1.0</v>
      </c>
      <c r="D28" s="15">
        <v>3.5</v>
      </c>
      <c r="E28" s="15">
        <f t="shared" si="2"/>
        <v>3.5</v>
      </c>
      <c r="F28" s="13" t="s">
        <v>75</v>
      </c>
      <c r="G28" s="16" t="s">
        <v>11</v>
      </c>
      <c r="H28" s="10"/>
      <c r="I28" s="10"/>
      <c r="K28" s="11"/>
    </row>
    <row r="29">
      <c r="A29" s="19"/>
      <c r="B29" s="13" t="s">
        <v>76</v>
      </c>
      <c r="C29" s="14">
        <v>5.0</v>
      </c>
      <c r="D29" s="15">
        <v>1.36</v>
      </c>
      <c r="E29" s="15">
        <f t="shared" si="2"/>
        <v>6.8</v>
      </c>
      <c r="F29" s="13" t="s">
        <v>77</v>
      </c>
      <c r="G29" s="16" t="s">
        <v>11</v>
      </c>
      <c r="H29" s="10"/>
      <c r="I29" s="10"/>
      <c r="K29" s="11"/>
    </row>
    <row r="30">
      <c r="A30" s="19"/>
      <c r="B30" s="13" t="s">
        <v>78</v>
      </c>
      <c r="C30" s="14">
        <v>7.0</v>
      </c>
      <c r="D30" s="15">
        <v>1.71</v>
      </c>
      <c r="E30" s="15">
        <f t="shared" si="2"/>
        <v>11.97</v>
      </c>
      <c r="F30" s="13" t="s">
        <v>77</v>
      </c>
      <c r="G30" s="16" t="s">
        <v>11</v>
      </c>
      <c r="H30" s="10"/>
      <c r="I30" s="10"/>
      <c r="K30" s="11"/>
    </row>
    <row r="31">
      <c r="A31" s="19"/>
      <c r="B31" s="13" t="s">
        <v>79</v>
      </c>
      <c r="C31" s="14">
        <v>4.0</v>
      </c>
      <c r="D31" s="15">
        <v>2.5</v>
      </c>
      <c r="E31" s="15">
        <f t="shared" si="2"/>
        <v>10</v>
      </c>
      <c r="F31" s="13" t="s">
        <v>80</v>
      </c>
      <c r="G31" s="16" t="s">
        <v>11</v>
      </c>
      <c r="H31" s="10"/>
      <c r="I31" s="10"/>
      <c r="K31" s="11"/>
    </row>
    <row r="32">
      <c r="A32" s="19"/>
      <c r="B32" s="13" t="s">
        <v>81</v>
      </c>
      <c r="C32" s="14">
        <v>2.0</v>
      </c>
      <c r="D32" s="15">
        <v>3.0</v>
      </c>
      <c r="E32" s="15">
        <f t="shared" si="2"/>
        <v>6</v>
      </c>
      <c r="F32" s="13" t="s">
        <v>82</v>
      </c>
      <c r="G32" s="16" t="s">
        <v>11</v>
      </c>
      <c r="H32" s="10"/>
      <c r="I32" s="10"/>
      <c r="K32" s="11"/>
    </row>
    <row r="33">
      <c r="A33" s="19"/>
      <c r="B33" s="13" t="s">
        <v>83</v>
      </c>
      <c r="C33" s="14">
        <v>2.0</v>
      </c>
      <c r="D33" s="15">
        <v>2.0</v>
      </c>
      <c r="E33" s="15">
        <f t="shared" si="2"/>
        <v>4</v>
      </c>
      <c r="F33" s="13" t="s">
        <v>84</v>
      </c>
      <c r="G33" s="16" t="s">
        <v>11</v>
      </c>
      <c r="H33" s="10"/>
      <c r="I33" s="10"/>
      <c r="K33" s="11"/>
    </row>
    <row r="34">
      <c r="A34" s="19"/>
      <c r="B34" s="13" t="s">
        <v>85</v>
      </c>
      <c r="C34" s="14">
        <v>5.0</v>
      </c>
      <c r="D34" s="15">
        <v>0.0</v>
      </c>
      <c r="E34" s="15">
        <f t="shared" si="2"/>
        <v>0</v>
      </c>
      <c r="F34" s="13" t="s">
        <v>86</v>
      </c>
      <c r="G34" s="22" t="s">
        <v>58</v>
      </c>
      <c r="H34" s="10"/>
      <c r="I34" s="10"/>
      <c r="K34" s="21"/>
    </row>
    <row r="35">
      <c r="A35" s="5" t="s">
        <v>87</v>
      </c>
      <c r="B35" s="6" t="s">
        <v>88</v>
      </c>
      <c r="C35" s="7">
        <v>100.0</v>
      </c>
      <c r="D35" s="8">
        <v>0.2</v>
      </c>
      <c r="E35" s="8">
        <f t="shared" si="2"/>
        <v>20</v>
      </c>
      <c r="F35" s="6" t="s">
        <v>89</v>
      </c>
      <c r="G35" s="26" t="s">
        <v>90</v>
      </c>
      <c r="H35" s="10"/>
      <c r="I35" s="10"/>
      <c r="K35" s="11"/>
    </row>
    <row r="36">
      <c r="A36" s="18"/>
      <c r="B36" s="6" t="s">
        <v>91</v>
      </c>
      <c r="C36" s="7">
        <v>1.0</v>
      </c>
      <c r="D36" s="8">
        <v>0.0</v>
      </c>
      <c r="E36" s="8">
        <f t="shared" si="2"/>
        <v>0</v>
      </c>
      <c r="F36" s="6" t="s">
        <v>92</v>
      </c>
      <c r="G36" s="26" t="s">
        <v>93</v>
      </c>
      <c r="H36" s="10"/>
      <c r="I36" s="10"/>
      <c r="K36" s="11"/>
    </row>
    <row r="37">
      <c r="A37" s="18"/>
      <c r="B37" s="6" t="s">
        <v>94</v>
      </c>
      <c r="C37" s="7">
        <v>1.0</v>
      </c>
      <c r="D37" s="8">
        <v>0.0</v>
      </c>
      <c r="E37" s="8">
        <f t="shared" si="2"/>
        <v>0</v>
      </c>
      <c r="F37" s="6" t="s">
        <v>95</v>
      </c>
      <c r="G37" s="26" t="s">
        <v>96</v>
      </c>
      <c r="H37" s="10"/>
      <c r="I37" s="10"/>
    </row>
    <row r="38">
      <c r="A38" s="27" t="s">
        <v>97</v>
      </c>
      <c r="B38" s="28">
        <v>6.9</v>
      </c>
      <c r="C38" s="29"/>
      <c r="D38" s="29"/>
      <c r="E38" s="29"/>
      <c r="F38" s="29"/>
      <c r="G38" s="29"/>
      <c r="H38" s="30"/>
      <c r="I38" s="30"/>
      <c r="K38" s="11"/>
    </row>
    <row r="39">
      <c r="A39" s="13" t="s">
        <v>98</v>
      </c>
      <c r="B39" s="15">
        <v>5.95</v>
      </c>
      <c r="C39" s="29"/>
      <c r="D39" s="29"/>
      <c r="E39" s="29"/>
      <c r="F39" s="29"/>
      <c r="G39" s="29"/>
      <c r="H39" s="30"/>
      <c r="I39" s="30"/>
      <c r="K39" s="11"/>
    </row>
    <row r="40">
      <c r="A40" s="12" t="s">
        <v>99</v>
      </c>
      <c r="B40" s="31">
        <f>SUM(E2:E37)</f>
        <v>400.85</v>
      </c>
      <c r="C40" s="29"/>
      <c r="D40" s="29"/>
      <c r="E40" s="29"/>
      <c r="F40" s="29"/>
      <c r="G40" s="29"/>
      <c r="H40" s="30"/>
      <c r="I40" s="30"/>
      <c r="K40" s="11"/>
    </row>
    <row r="41">
      <c r="A41" s="12" t="s">
        <v>100</v>
      </c>
      <c r="B41" s="31">
        <f>SUM(B38:B40)</f>
        <v>413.7</v>
      </c>
      <c r="C41" s="29"/>
      <c r="D41" s="29"/>
      <c r="E41" s="29"/>
      <c r="F41" s="29"/>
      <c r="G41" s="29"/>
      <c r="H41" s="30"/>
      <c r="I41" s="30"/>
      <c r="K41" s="11"/>
    </row>
    <row r="42">
      <c r="K42" s="11"/>
    </row>
    <row r="43">
      <c r="K43" s="11"/>
    </row>
    <row r="44">
      <c r="K44" s="11"/>
    </row>
    <row r="45">
      <c r="K45" s="11"/>
    </row>
    <row r="46">
      <c r="K46" s="11"/>
    </row>
    <row r="47">
      <c r="K47" s="11"/>
    </row>
    <row r="48">
      <c r="K48" s="32"/>
    </row>
    <row r="49">
      <c r="K49" s="11"/>
    </row>
    <row r="50">
      <c r="K50" s="11"/>
    </row>
  </sheetData>
  <hyperlinks>
    <hyperlink r:id="rId1" ref="G2"/>
    <hyperlink r:id="rId2" ref="G3"/>
    <hyperlink r:id="rId3" ref="G5"/>
    <hyperlink r:id="rId4" ref="G6"/>
    <hyperlink r:id="rId5" ref="G7"/>
    <hyperlink r:id="rId6" ref="G8"/>
    <hyperlink r:id="rId7" ref="G9"/>
    <hyperlink r:id="rId8" ref="G13"/>
    <hyperlink r:id="rId9" ref="G14"/>
    <hyperlink r:id="rId10" ref="G15"/>
    <hyperlink r:id="rId11" ref="G16"/>
    <hyperlink r:id="rId12" ref="G18"/>
    <hyperlink r:id="rId13" location="vslotrails" ref="G21"/>
    <hyperlink r:id="rId14" location="vslotrails" ref="G22"/>
    <hyperlink r:id="rId15" location="vslotrails" ref="G23"/>
    <hyperlink r:id="rId16" location="vslotrails" ref="G24"/>
    <hyperlink r:id="rId17" location="vslotrails" ref="G25"/>
    <hyperlink r:id="rId18" location="vslotrails" ref="G27"/>
    <hyperlink r:id="rId19" location="vslotrails" ref="G28"/>
    <hyperlink r:id="rId20" location="vslotrails" ref="G29"/>
    <hyperlink r:id="rId21" location="vslotrails" ref="G30"/>
    <hyperlink r:id="rId22" location="Umlenkrolle" ref="G31"/>
    <hyperlink r:id="rId23" location="Umlenkrolle" ref="G32"/>
    <hyperlink r:id="rId24" location="Umlenkrolle" ref="G3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5"/>
</worksheet>
</file>